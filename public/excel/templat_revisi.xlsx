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50354173-AE91-544B-BAA7-50ADA8314ECE}" xr6:coauthVersionLast="47" xr6:coauthVersionMax="47" xr10:uidLastSave="{00000000-0000-0000-0000-000000000000}"/>
  <bookViews>
    <workbookView xWindow="3180" yWindow="2000" windowWidth="27640" windowHeight="16940" xr2:uid="{4D2F5612-E3CE-D944-9466-3C76036E0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0" i="1" l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S23" i="1"/>
  <c r="R23" i="1"/>
  <c r="R22" i="1"/>
  <c r="S22" i="1" s="1"/>
  <c r="R21" i="1"/>
  <c r="S21" i="1" s="1"/>
  <c r="R20" i="1"/>
  <c r="S20" i="1" s="1"/>
  <c r="R19" i="1"/>
  <c r="S19" i="1" s="1"/>
  <c r="T19" i="1" s="1"/>
  <c r="U19" i="1" s="1"/>
  <c r="R16" i="1"/>
  <c r="S16" i="1" s="1"/>
  <c r="Z15" i="1"/>
  <c r="R15" i="1"/>
  <c r="S15" i="1" s="1"/>
  <c r="Z14" i="1"/>
  <c r="R14" i="1"/>
  <c r="S14" i="1" s="1"/>
  <c r="Z13" i="1"/>
  <c r="R13" i="1"/>
  <c r="S13" i="1" s="1"/>
  <c r="Z12" i="1"/>
  <c r="R12" i="1"/>
  <c r="S12" i="1" s="1"/>
  <c r="Z11" i="1"/>
  <c r="S11" i="1"/>
  <c r="R11" i="1"/>
  <c r="Z10" i="1"/>
  <c r="R10" i="1"/>
  <c r="S10" i="1" s="1"/>
  <c r="Z9" i="1"/>
  <c r="S9" i="1"/>
  <c r="R9" i="1"/>
  <c r="Z8" i="1"/>
  <c r="R8" i="1"/>
  <c r="S8" i="1" s="1"/>
  <c r="Z7" i="1"/>
  <c r="R7" i="1"/>
  <c r="S7" i="1" s="1"/>
  <c r="Z6" i="1"/>
  <c r="R6" i="1"/>
  <c r="S6" i="1" s="1"/>
  <c r="Z5" i="1"/>
  <c r="R5" i="1"/>
  <c r="S5" i="1" s="1"/>
  <c r="T5" i="1" s="1"/>
  <c r="U5" i="1" s="1"/>
  <c r="Z4" i="1"/>
  <c r="V5" i="1" l="1"/>
</calcChain>
</file>

<file path=xl/sharedStrings.xml><?xml version="1.0" encoding="utf-8"?>
<sst xmlns="http://schemas.openxmlformats.org/spreadsheetml/2006/main" count="179" uniqueCount="58">
  <si>
    <t>1. Revisi DPA</t>
  </si>
  <si>
    <t>No.</t>
  </si>
  <si>
    <t>Tanggal Nota Dinas Pergeseran DPA oleh SKPD*</t>
  </si>
  <si>
    <t>Tanggal Pengesahan oleh BPKPAD*</t>
  </si>
  <si>
    <t>Revisi Ke</t>
  </si>
  <si>
    <t>Jenis Revisi**</t>
  </si>
  <si>
    <t>Pagu Awal (Dalam Rupiah)</t>
  </si>
  <si>
    <t>Pagu Akhir (Dalam Rupiah)</t>
  </si>
  <si>
    <t>Semester I</t>
  </si>
  <si>
    <t>(a)</t>
  </si>
  <si>
    <t>(b)</t>
  </si>
  <si>
    <t>(c)</t>
  </si>
  <si>
    <t>(d)</t>
  </si>
  <si>
    <t>(e)</t>
  </si>
  <si>
    <t>24/01/2024</t>
  </si>
  <si>
    <t>26/01/2024</t>
  </si>
  <si>
    <t>19/02/2024</t>
  </si>
  <si>
    <t>22/02/2024</t>
  </si>
  <si>
    <t>22/04/2024</t>
  </si>
  <si>
    <t>25/04/2024</t>
  </si>
  <si>
    <t>51405, 51406</t>
  </si>
  <si>
    <t>NA</t>
  </si>
  <si>
    <t>Semester II</t>
  </si>
  <si>
    <t>Pagu Awal</t>
  </si>
  <si>
    <t>Pagu Akhir</t>
  </si>
  <si>
    <t>15/07/2024</t>
  </si>
  <si>
    <t>23/09/2024</t>
  </si>
  <si>
    <t>25/09/2024</t>
  </si>
  <si>
    <t>15/10/2024</t>
  </si>
  <si>
    <t>238, 315</t>
  </si>
  <si>
    <t>Perubahan Pagu</t>
  </si>
  <si>
    <t>Termasuk Objek Perhitungan</t>
  </si>
  <si>
    <t>Jumlah Revisi</t>
  </si>
  <si>
    <t xml:space="preserve">NKRA Semester I </t>
  </si>
  <si>
    <t>NKRA Tahunan</t>
  </si>
  <si>
    <t>Bulan</t>
  </si>
  <si>
    <t>NKRA Bulan Berjalan</t>
  </si>
  <si>
    <t>Semester</t>
  </si>
  <si>
    <t>(f)</t>
  </si>
  <si>
    <t>(g)</t>
  </si>
  <si>
    <t>(h)</t>
  </si>
  <si>
    <t xml:space="preserve"> (i)</t>
  </si>
  <si>
    <t xml:space="preserve"> (j)</t>
  </si>
  <si>
    <t>Januari</t>
  </si>
  <si>
    <t>Semester 1</t>
  </si>
  <si>
    <t>Februari</t>
  </si>
  <si>
    <t>Maret</t>
  </si>
  <si>
    <t>April</t>
  </si>
  <si>
    <t>Mei</t>
  </si>
  <si>
    <t>Juni</t>
  </si>
  <si>
    <t>Juli</t>
  </si>
  <si>
    <t>Semester 2</t>
  </si>
  <si>
    <t>Agustus</t>
  </si>
  <si>
    <t>September</t>
  </si>
  <si>
    <t>Oktober</t>
  </si>
  <si>
    <t>November</t>
  </si>
  <si>
    <t>Desember</t>
  </si>
  <si>
    <t xml:space="preserve">NKRA Semester II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</si>
</sst>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9" x14ac:knownFonts="1">
    <font>
      <sz val="12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Libre Franklin"/>
    </font>
    <font>
      <b/>
      <sz val="10"/>
      <color rgb="FF000000"/>
      <name val="Libre Franklin"/>
    </font>
    <font>
      <i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3" fontId="6" fillId="5" borderId="1" xfId="0" applyNumberFormat="1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0" fontId="1" fillId="4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4" borderId="11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7" fillId="9" borderId="1" xfId="0" applyFont="1" applyFill="1" applyBorder="1"/>
    <xf numFmtId="0" fontId="0" fillId="9" borderId="1" xfId="0" applyFill="1" applyBorder="1"/>
    <xf numFmtId="0" fontId="0" fillId="9" borderId="12" xfId="0" applyFill="1" applyBorder="1"/>
    <xf numFmtId="0" fontId="7" fillId="7" borderId="1" xfId="0" applyFont="1" applyFill="1" applyBorder="1"/>
    <xf numFmtId="0" fontId="0" fillId="7" borderId="12" xfId="0" applyFill="1" applyBorder="1"/>
    <xf numFmtId="0" fontId="7" fillId="7" borderId="0" xfId="0" applyFont="1" applyFill="1"/>
    <xf numFmtId="0" fontId="0" fillId="7" borderId="0" xfId="0" applyFill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7E52-1654-224D-A657-27841F81C0F1}">
  <dimension ref="B1:AA30"/>
  <sheetViews>
    <sheetView tabSelected="1" zoomScale="133" workbookViewId="0">
      <selection activeCell="E12" sqref="E12"/>
    </sheetView>
  </sheetViews>
  <sheetFormatPr baseColWidth="10" defaultRowHeight="16" x14ac:dyDescent="0.2"/>
  <cols>
    <col min="3" max="3" width="22" customWidth="1"/>
    <col min="4" max="4" width="18.83203125" customWidth="1"/>
    <col min="5" max="5" width="10" customWidth="1"/>
    <col min="6" max="6" width="14.83203125" customWidth="1"/>
    <col min="7" max="7" width="20.1640625" customWidth="1"/>
    <col min="8" max="8" width="24" customWidth="1"/>
  </cols>
  <sheetData>
    <row r="1" spans="2:27" ht="18" x14ac:dyDescent="0.25">
      <c r="C1" s="2" t="s">
        <v>0</v>
      </c>
      <c r="D1" s="3"/>
      <c r="E1" s="3"/>
      <c r="F1" s="3"/>
      <c r="G1" s="3"/>
      <c r="H1" s="3"/>
    </row>
    <row r="2" spans="2:27" x14ac:dyDescent="0.2">
      <c r="C2" s="1"/>
      <c r="D2" s="1"/>
      <c r="E2" s="1"/>
      <c r="F2" s="1"/>
      <c r="G2" s="1"/>
      <c r="H2" s="1"/>
    </row>
    <row r="3" spans="2:27" ht="36" customHeight="1" x14ac:dyDescent="0.2">
      <c r="B3" s="54" t="s">
        <v>1</v>
      </c>
      <c r="C3" s="5" t="s">
        <v>2</v>
      </c>
      <c r="D3" s="6" t="s">
        <v>3</v>
      </c>
      <c r="E3" s="7" t="s">
        <v>4</v>
      </c>
      <c r="F3" s="7" t="s">
        <v>5</v>
      </c>
      <c r="G3" s="6" t="s">
        <v>6</v>
      </c>
      <c r="H3" s="6" t="s">
        <v>7</v>
      </c>
      <c r="R3" s="6" t="s">
        <v>30</v>
      </c>
      <c r="S3" s="6" t="s">
        <v>31</v>
      </c>
      <c r="T3" s="6" t="s">
        <v>32</v>
      </c>
      <c r="U3" s="21" t="s">
        <v>33</v>
      </c>
      <c r="V3" s="22" t="s">
        <v>34</v>
      </c>
      <c r="Y3" s="17" t="s">
        <v>35</v>
      </c>
      <c r="Z3" s="18" t="s">
        <v>36</v>
      </c>
      <c r="AA3" s="18" t="s">
        <v>37</v>
      </c>
    </row>
    <row r="4" spans="2:27" x14ac:dyDescent="0.2">
      <c r="B4" s="54"/>
      <c r="C4" s="8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R4" s="23" t="s">
        <v>38</v>
      </c>
      <c r="S4" s="23" t="s">
        <v>39</v>
      </c>
      <c r="T4" s="24" t="s">
        <v>40</v>
      </c>
      <c r="U4" s="25" t="s">
        <v>41</v>
      </c>
      <c r="V4" s="25" t="s">
        <v>42</v>
      </c>
      <c r="Y4" s="26" t="s">
        <v>43</v>
      </c>
      <c r="Z4" s="26">
        <f>$U$45</f>
        <v>0</v>
      </c>
      <c r="AA4" s="55" t="s">
        <v>44</v>
      </c>
    </row>
    <row r="5" spans="2:27" x14ac:dyDescent="0.2">
      <c r="B5" s="10">
        <v>1</v>
      </c>
      <c r="C5" s="11" t="s">
        <v>14</v>
      </c>
      <c r="D5" s="11" t="s">
        <v>15</v>
      </c>
      <c r="E5" s="11">
        <v>1</v>
      </c>
      <c r="F5" s="12">
        <v>51101</v>
      </c>
      <c r="G5" s="13">
        <v>7535000000</v>
      </c>
      <c r="H5" s="14">
        <v>7535000000</v>
      </c>
      <c r="R5" s="27" t="str">
        <f>IF(H5="NA","NA",IF(G5="","",IF(G5=H5,"Tidak","Ya")))</f>
        <v>Tidak</v>
      </c>
      <c r="S5" s="27" t="str">
        <f>IF(R5="NA","Tidak",IF(R5="","",IF(R5="Ya","Tidak","Ya")))</f>
        <v>Ya</v>
      </c>
      <c r="T5" s="28">
        <f>IF(H5="","",IF(H5="NA",0,COUNTIF(S5:S16,"Ya")))</f>
        <v>3</v>
      </c>
      <c r="U5" s="29">
        <f>IF(T5="","",IF(T5=0,110,IF(T5=1,100,IF(T5=2,50,IF(T5=3,45,IF(T5=4,40,IF(T5&gt;=5,35)))))))</f>
        <v>45</v>
      </c>
      <c r="V5" s="30">
        <f>IF(U19="",0.5*U5,((0.5*U5)+(0.5*U19)))</f>
        <v>45</v>
      </c>
      <c r="Y5" s="26" t="s">
        <v>45</v>
      </c>
      <c r="Z5" s="26">
        <f t="shared" ref="Z5:Z9" si="0">$U$45</f>
        <v>0</v>
      </c>
      <c r="AA5" s="55"/>
    </row>
    <row r="6" spans="2:27" x14ac:dyDescent="0.2">
      <c r="B6" s="10">
        <v>2</v>
      </c>
      <c r="C6" s="11" t="s">
        <v>16</v>
      </c>
      <c r="D6" s="11" t="s">
        <v>17</v>
      </c>
      <c r="E6" s="11">
        <v>2</v>
      </c>
      <c r="F6" s="14">
        <v>51102</v>
      </c>
      <c r="G6" s="14">
        <v>7535000000</v>
      </c>
      <c r="H6" s="14">
        <v>7535000000</v>
      </c>
      <c r="R6" s="27" t="str">
        <f t="shared" ref="R6:R16" si="1">IF(H6="NA","NA",IF(G6="","",IF(G6=H6,"Tidak","Ya")))</f>
        <v>Tidak</v>
      </c>
      <c r="S6" s="27" t="str">
        <f t="shared" ref="S6:S16" si="2">IF(R6="NA","Tidak",IF(R6="","",IF(R6="Ya","Tidak","Ya")))</f>
        <v>Ya</v>
      </c>
      <c r="T6" s="31"/>
      <c r="U6" s="32"/>
      <c r="V6" s="33"/>
      <c r="Y6" s="26" t="s">
        <v>46</v>
      </c>
      <c r="Z6" s="26">
        <f t="shared" si="0"/>
        <v>0</v>
      </c>
      <c r="AA6" s="55"/>
    </row>
    <row r="7" spans="2:27" x14ac:dyDescent="0.2">
      <c r="B7" s="10">
        <v>3</v>
      </c>
      <c r="C7" s="11" t="s">
        <v>18</v>
      </c>
      <c r="D7" s="11" t="s">
        <v>19</v>
      </c>
      <c r="E7" s="11">
        <v>3</v>
      </c>
      <c r="F7" s="14" t="s">
        <v>20</v>
      </c>
      <c r="G7" s="13">
        <v>7535000000</v>
      </c>
      <c r="H7" s="13">
        <v>7535000000</v>
      </c>
      <c r="R7" s="27" t="str">
        <f t="shared" si="1"/>
        <v>Tidak</v>
      </c>
      <c r="S7" s="27" t="str">
        <f t="shared" si="2"/>
        <v>Ya</v>
      </c>
      <c r="T7" s="31"/>
      <c r="U7" s="32"/>
      <c r="V7" s="33"/>
      <c r="Y7" s="26" t="s">
        <v>47</v>
      </c>
      <c r="Z7" s="26">
        <f t="shared" si="0"/>
        <v>0</v>
      </c>
      <c r="AA7" s="55"/>
    </row>
    <row r="8" spans="2:27" x14ac:dyDescent="0.2">
      <c r="B8" s="10">
        <v>4</v>
      </c>
      <c r="C8" s="15" t="s">
        <v>21</v>
      </c>
      <c r="D8" s="15" t="s">
        <v>21</v>
      </c>
      <c r="E8" s="15" t="s">
        <v>21</v>
      </c>
      <c r="F8" s="15" t="s">
        <v>21</v>
      </c>
      <c r="G8" s="15" t="s">
        <v>21</v>
      </c>
      <c r="H8" s="15" t="s">
        <v>21</v>
      </c>
      <c r="R8" s="27" t="str">
        <f t="shared" si="1"/>
        <v>NA</v>
      </c>
      <c r="S8" s="27" t="str">
        <f t="shared" si="2"/>
        <v>Tidak</v>
      </c>
      <c r="T8" s="31"/>
      <c r="U8" s="32"/>
      <c r="V8" s="33"/>
      <c r="Y8" s="26" t="s">
        <v>48</v>
      </c>
      <c r="Z8" s="26">
        <f t="shared" si="0"/>
        <v>0</v>
      </c>
      <c r="AA8" s="55"/>
    </row>
    <row r="9" spans="2:27" x14ac:dyDescent="0.2">
      <c r="B9" s="10">
        <v>5</v>
      </c>
      <c r="C9" s="15" t="s">
        <v>21</v>
      </c>
      <c r="D9" s="15" t="s">
        <v>21</v>
      </c>
      <c r="E9" s="15" t="s">
        <v>21</v>
      </c>
      <c r="F9" s="15" t="s">
        <v>21</v>
      </c>
      <c r="G9" s="15" t="s">
        <v>21</v>
      </c>
      <c r="H9" s="15" t="s">
        <v>21</v>
      </c>
      <c r="R9" s="27" t="str">
        <f t="shared" si="1"/>
        <v>NA</v>
      </c>
      <c r="S9" s="27" t="str">
        <f t="shared" si="2"/>
        <v>Tidak</v>
      </c>
      <c r="T9" s="31"/>
      <c r="U9" s="32"/>
      <c r="V9" s="33"/>
      <c r="Y9" s="26" t="s">
        <v>49</v>
      </c>
      <c r="Z9" s="26">
        <f t="shared" si="0"/>
        <v>0</v>
      </c>
      <c r="AA9" s="55"/>
    </row>
    <row r="10" spans="2:27" x14ac:dyDescent="0.2">
      <c r="B10" s="16">
        <v>6</v>
      </c>
      <c r="C10" s="15" t="s">
        <v>21</v>
      </c>
      <c r="D10" s="15" t="s">
        <v>21</v>
      </c>
      <c r="E10" s="15" t="s">
        <v>21</v>
      </c>
      <c r="F10" s="15" t="s">
        <v>21</v>
      </c>
      <c r="G10" s="15" t="s">
        <v>21</v>
      </c>
      <c r="H10" s="15" t="s">
        <v>21</v>
      </c>
      <c r="R10" s="27" t="str">
        <f t="shared" si="1"/>
        <v>NA</v>
      </c>
      <c r="S10" s="27" t="str">
        <f t="shared" si="2"/>
        <v>Tidak</v>
      </c>
      <c r="T10" s="31"/>
      <c r="U10" s="32"/>
      <c r="V10" s="33"/>
      <c r="Y10" s="26" t="s">
        <v>50</v>
      </c>
      <c r="Z10" s="26">
        <f>$U$59</f>
        <v>0</v>
      </c>
      <c r="AA10" s="55" t="s">
        <v>51</v>
      </c>
    </row>
    <row r="11" spans="2:27" x14ac:dyDescent="0.2">
      <c r="B11" s="10">
        <v>7</v>
      </c>
      <c r="C11" s="15" t="s">
        <v>21</v>
      </c>
      <c r="D11" s="15" t="s">
        <v>21</v>
      </c>
      <c r="E11" s="15" t="s">
        <v>21</v>
      </c>
      <c r="F11" s="15" t="s">
        <v>21</v>
      </c>
      <c r="G11" s="15" t="s">
        <v>21</v>
      </c>
      <c r="H11" s="15" t="s">
        <v>21</v>
      </c>
      <c r="N11" s="34"/>
      <c r="O11" s="34"/>
      <c r="R11" s="27" t="str">
        <f t="shared" si="1"/>
        <v>NA</v>
      </c>
      <c r="S11" s="27" t="str">
        <f t="shared" si="2"/>
        <v>Tidak</v>
      </c>
      <c r="T11" s="31"/>
      <c r="U11" s="32"/>
      <c r="V11" s="33"/>
      <c r="Y11" s="26" t="s">
        <v>52</v>
      </c>
      <c r="Z11" s="26">
        <f t="shared" ref="Z11:Z15" si="3">$U$59</f>
        <v>0</v>
      </c>
      <c r="AA11" s="55"/>
    </row>
    <row r="12" spans="2:27" x14ac:dyDescent="0.2">
      <c r="B12" s="10">
        <v>8</v>
      </c>
      <c r="C12" s="15" t="s">
        <v>21</v>
      </c>
      <c r="D12" s="15" t="s">
        <v>21</v>
      </c>
      <c r="E12" s="15" t="s">
        <v>21</v>
      </c>
      <c r="F12" s="15" t="s">
        <v>21</v>
      </c>
      <c r="G12" s="15" t="s">
        <v>21</v>
      </c>
      <c r="H12" s="15" t="s">
        <v>21</v>
      </c>
      <c r="N12" s="34"/>
      <c r="O12" s="34"/>
      <c r="R12" s="27" t="str">
        <f t="shared" si="1"/>
        <v>NA</v>
      </c>
      <c r="S12" s="27" t="str">
        <f t="shared" si="2"/>
        <v>Tidak</v>
      </c>
      <c r="T12" s="35"/>
      <c r="U12" s="36"/>
      <c r="V12" s="37"/>
      <c r="Y12" s="26" t="s">
        <v>53</v>
      </c>
      <c r="Z12" s="26">
        <f t="shared" si="3"/>
        <v>0</v>
      </c>
      <c r="AA12" s="55"/>
    </row>
    <row r="13" spans="2:27" x14ac:dyDescent="0.2">
      <c r="B13" s="10">
        <v>9</v>
      </c>
      <c r="C13" s="15" t="s">
        <v>21</v>
      </c>
      <c r="D13" s="15" t="s">
        <v>21</v>
      </c>
      <c r="E13" s="15" t="s">
        <v>21</v>
      </c>
      <c r="F13" s="15" t="s">
        <v>21</v>
      </c>
      <c r="G13" s="15" t="s">
        <v>21</v>
      </c>
      <c r="H13" s="15" t="s">
        <v>21</v>
      </c>
      <c r="N13" s="34"/>
      <c r="O13" s="34"/>
      <c r="R13" s="27" t="str">
        <f t="shared" si="1"/>
        <v>NA</v>
      </c>
      <c r="S13" s="27" t="str">
        <f t="shared" si="2"/>
        <v>Tidak</v>
      </c>
      <c r="T13" s="38"/>
      <c r="U13" s="38"/>
      <c r="V13" s="37"/>
      <c r="Y13" s="26" t="s">
        <v>54</v>
      </c>
      <c r="Z13" s="26">
        <f t="shared" si="3"/>
        <v>0</v>
      </c>
      <c r="AA13" s="55"/>
    </row>
    <row r="14" spans="2:27" x14ac:dyDescent="0.2">
      <c r="B14" s="10">
        <v>10</v>
      </c>
      <c r="C14" s="15" t="s">
        <v>21</v>
      </c>
      <c r="D14" s="15" t="s">
        <v>21</v>
      </c>
      <c r="E14" s="15" t="s">
        <v>21</v>
      </c>
      <c r="F14" s="15" t="s">
        <v>21</v>
      </c>
      <c r="G14" s="15" t="s">
        <v>21</v>
      </c>
      <c r="H14" s="15" t="s">
        <v>21</v>
      </c>
      <c r="N14" s="34"/>
      <c r="O14" s="34"/>
      <c r="R14" s="27" t="str">
        <f t="shared" si="1"/>
        <v>NA</v>
      </c>
      <c r="S14" s="27" t="str">
        <f t="shared" si="2"/>
        <v>Tidak</v>
      </c>
      <c r="T14" s="38"/>
      <c r="U14" s="38"/>
      <c r="V14" s="37"/>
      <c r="Y14" s="26" t="s">
        <v>55</v>
      </c>
      <c r="Z14" s="26">
        <f t="shared" si="3"/>
        <v>0</v>
      </c>
      <c r="AA14" s="55"/>
    </row>
    <row r="15" spans="2:27" x14ac:dyDescent="0.2">
      <c r="B15" s="16">
        <v>11</v>
      </c>
      <c r="C15" s="15" t="s">
        <v>21</v>
      </c>
      <c r="D15" s="15" t="s">
        <v>21</v>
      </c>
      <c r="E15" s="15" t="s">
        <v>21</v>
      </c>
      <c r="F15" s="15" t="s">
        <v>21</v>
      </c>
      <c r="G15" s="15" t="s">
        <v>21</v>
      </c>
      <c r="H15" s="15" t="s">
        <v>21</v>
      </c>
      <c r="R15" s="27" t="str">
        <f t="shared" si="1"/>
        <v>NA</v>
      </c>
      <c r="S15" s="27" t="str">
        <f t="shared" si="2"/>
        <v>Tidak</v>
      </c>
      <c r="T15" s="39"/>
      <c r="U15" s="40"/>
      <c r="V15" s="33"/>
      <c r="Y15" s="26" t="s">
        <v>56</v>
      </c>
      <c r="Z15" s="26">
        <f t="shared" si="3"/>
        <v>0</v>
      </c>
      <c r="AA15" s="55"/>
    </row>
    <row r="16" spans="2:27" x14ac:dyDescent="0.2">
      <c r="B16" s="10">
        <v>12</v>
      </c>
      <c r="C16" s="15" t="s">
        <v>21</v>
      </c>
      <c r="D16" s="15" t="s">
        <v>21</v>
      </c>
      <c r="E16" s="15" t="s">
        <v>21</v>
      </c>
      <c r="F16" s="15" t="s">
        <v>21</v>
      </c>
      <c r="G16" s="15" t="s">
        <v>21</v>
      </c>
      <c r="H16" s="15" t="s">
        <v>21</v>
      </c>
      <c r="R16" s="27" t="str">
        <f t="shared" si="1"/>
        <v>NA</v>
      </c>
      <c r="S16" s="27" t="str">
        <f t="shared" si="2"/>
        <v>Tidak</v>
      </c>
      <c r="T16" s="41"/>
      <c r="U16" s="41"/>
      <c r="V16" s="41"/>
    </row>
    <row r="17" spans="2:22" x14ac:dyDescent="0.2">
      <c r="B17" s="4" t="s">
        <v>1</v>
      </c>
      <c r="C17" s="17" t="s">
        <v>22</v>
      </c>
      <c r="D17" s="17" t="s">
        <v>9</v>
      </c>
      <c r="E17" s="17" t="s">
        <v>10</v>
      </c>
      <c r="F17" s="17" t="s">
        <v>11</v>
      </c>
      <c r="G17" s="17" t="s">
        <v>12</v>
      </c>
      <c r="H17" s="17" t="s">
        <v>13</v>
      </c>
      <c r="R17" s="42" t="s">
        <v>38</v>
      </c>
      <c r="S17" s="42" t="s">
        <v>39</v>
      </c>
      <c r="T17" s="43" t="s">
        <v>40</v>
      </c>
      <c r="U17" s="44" t="s">
        <v>41</v>
      </c>
      <c r="V17" s="44" t="s">
        <v>42</v>
      </c>
    </row>
    <row r="18" spans="2:22" ht="37" customHeight="1" x14ac:dyDescent="0.2">
      <c r="B18" s="4"/>
      <c r="C18" s="18" t="s">
        <v>2</v>
      </c>
      <c r="D18" s="18" t="s">
        <v>3</v>
      </c>
      <c r="E18" s="18" t="s">
        <v>4</v>
      </c>
      <c r="F18" s="18" t="s">
        <v>5</v>
      </c>
      <c r="G18" s="18" t="s">
        <v>23</v>
      </c>
      <c r="H18" s="18" t="s">
        <v>24</v>
      </c>
      <c r="R18" s="18" t="s">
        <v>30</v>
      </c>
      <c r="S18" s="18" t="s">
        <v>31</v>
      </c>
      <c r="T18" s="18" t="s">
        <v>32</v>
      </c>
      <c r="U18" s="18" t="s">
        <v>57</v>
      </c>
      <c r="V18" s="45" t="s">
        <v>34</v>
      </c>
    </row>
    <row r="19" spans="2:22" x14ac:dyDescent="0.2">
      <c r="B19" s="10">
        <v>1</v>
      </c>
      <c r="C19" s="19">
        <v>45633</v>
      </c>
      <c r="D19" s="11" t="s">
        <v>25</v>
      </c>
      <c r="E19" s="11">
        <v>4</v>
      </c>
      <c r="F19" s="12">
        <v>51101</v>
      </c>
      <c r="G19" s="13">
        <v>9876500000</v>
      </c>
      <c r="H19" s="14">
        <v>9876500000</v>
      </c>
      <c r="R19" s="27" t="str">
        <f t="shared" ref="R19:R30" si="4">IF(H19="NA","NA",IF(G19="","",IF(G19=H19,"Tidak","Ya")))</f>
        <v>Tidak</v>
      </c>
      <c r="S19" s="27" t="str">
        <f>IF(R19="NA","Tidak",IF(R19="","",IF(R19="Ya","Tidak","Ya")))</f>
        <v>Ya</v>
      </c>
      <c r="T19" s="28">
        <f>IF(H19="","",IF(H19="NA",0,COUNTIF(S19:S29,"Ya")))</f>
        <v>3</v>
      </c>
      <c r="U19" s="29">
        <f>IF(T19="","",IF(T19=0,110,IF(T19=1,100,IF(T19=2,50,IF(T19=3,45,IF(T19=4,40,IF(T19&gt;=5,35)))))))</f>
        <v>45</v>
      </c>
      <c r="V19" s="41"/>
    </row>
    <row r="20" spans="2:22" x14ac:dyDescent="0.2">
      <c r="B20" s="10">
        <v>2</v>
      </c>
      <c r="C20" s="19">
        <v>45512</v>
      </c>
      <c r="D20" s="19">
        <v>45543</v>
      </c>
      <c r="E20" s="11">
        <v>5</v>
      </c>
      <c r="F20" s="14">
        <v>51102</v>
      </c>
      <c r="G20" s="13">
        <v>9876500000</v>
      </c>
      <c r="H20" s="13">
        <v>9876500000</v>
      </c>
      <c r="R20" s="27" t="str">
        <f t="shared" si="4"/>
        <v>Tidak</v>
      </c>
      <c r="S20" s="27" t="str">
        <f t="shared" ref="S20:S30" si="5">IF(R20="NA","Tidak",IF(R20="","",IF(R20="Ya","Tidak","Ya")))</f>
        <v>Ya</v>
      </c>
      <c r="T20" s="46"/>
      <c r="U20" s="46"/>
      <c r="V20" s="41"/>
    </row>
    <row r="21" spans="2:22" x14ac:dyDescent="0.2">
      <c r="B21" s="10">
        <v>3</v>
      </c>
      <c r="C21" s="11" t="s">
        <v>26</v>
      </c>
      <c r="D21" s="11" t="s">
        <v>27</v>
      </c>
      <c r="E21" s="11">
        <v>6</v>
      </c>
      <c r="F21" s="14" t="s">
        <v>20</v>
      </c>
      <c r="G21" s="13">
        <v>9876500000</v>
      </c>
      <c r="H21" s="13">
        <v>9876500000</v>
      </c>
      <c r="R21" s="27" t="str">
        <f t="shared" si="4"/>
        <v>Tidak</v>
      </c>
      <c r="S21" s="27" t="str">
        <f t="shared" si="5"/>
        <v>Ya</v>
      </c>
      <c r="T21" s="46"/>
      <c r="U21" s="46"/>
      <c r="V21" s="41"/>
    </row>
    <row r="22" spans="2:22" x14ac:dyDescent="0.2">
      <c r="B22" s="10">
        <v>4</v>
      </c>
      <c r="C22" s="20">
        <v>45606</v>
      </c>
      <c r="D22" s="11" t="s">
        <v>28</v>
      </c>
      <c r="E22" s="11">
        <v>7</v>
      </c>
      <c r="F22" s="14" t="s">
        <v>29</v>
      </c>
      <c r="G22" s="13">
        <v>9876500000</v>
      </c>
      <c r="H22" s="13">
        <v>9989000000</v>
      </c>
      <c r="R22" s="27" t="str">
        <f t="shared" si="4"/>
        <v>Ya</v>
      </c>
      <c r="S22" s="27" t="str">
        <f t="shared" si="5"/>
        <v>Tidak</v>
      </c>
      <c r="T22" s="46"/>
      <c r="U22" s="46"/>
      <c r="V22" s="41"/>
    </row>
    <row r="23" spans="2:22" x14ac:dyDescent="0.2">
      <c r="B23" s="10">
        <v>5</v>
      </c>
      <c r="C23" s="15" t="s">
        <v>21</v>
      </c>
      <c r="D23" s="15" t="s">
        <v>21</v>
      </c>
      <c r="E23" s="15" t="s">
        <v>21</v>
      </c>
      <c r="F23" s="15" t="s">
        <v>21</v>
      </c>
      <c r="G23" s="15" t="s">
        <v>21</v>
      </c>
      <c r="H23" s="15" t="s">
        <v>21</v>
      </c>
      <c r="R23" s="27" t="str">
        <f t="shared" si="4"/>
        <v>NA</v>
      </c>
      <c r="S23" s="27" t="str">
        <f t="shared" si="5"/>
        <v>Tidak</v>
      </c>
      <c r="T23" s="46"/>
      <c r="U23" s="46"/>
      <c r="V23" s="41"/>
    </row>
    <row r="24" spans="2:22" x14ac:dyDescent="0.2">
      <c r="B24" s="10">
        <v>6</v>
      </c>
      <c r="C24" s="15" t="s">
        <v>21</v>
      </c>
      <c r="D24" s="15" t="s">
        <v>21</v>
      </c>
      <c r="E24" s="15" t="s">
        <v>21</v>
      </c>
      <c r="F24" s="15" t="s">
        <v>21</v>
      </c>
      <c r="G24" s="15" t="s">
        <v>21</v>
      </c>
      <c r="H24" s="15" t="s">
        <v>21</v>
      </c>
      <c r="R24" s="27" t="str">
        <f t="shared" si="4"/>
        <v>NA</v>
      </c>
      <c r="S24" s="27" t="str">
        <f t="shared" si="5"/>
        <v>Tidak</v>
      </c>
      <c r="T24" s="46"/>
      <c r="U24" s="46"/>
      <c r="V24" s="41"/>
    </row>
    <row r="25" spans="2:22" x14ac:dyDescent="0.2">
      <c r="B25" s="10">
        <v>7</v>
      </c>
      <c r="C25" s="15" t="s">
        <v>21</v>
      </c>
      <c r="D25" s="15" t="s">
        <v>21</v>
      </c>
      <c r="E25" s="15" t="s">
        <v>21</v>
      </c>
      <c r="F25" s="15" t="s">
        <v>21</v>
      </c>
      <c r="G25" s="15" t="s">
        <v>21</v>
      </c>
      <c r="H25" s="15" t="s">
        <v>21</v>
      </c>
      <c r="R25" s="27" t="str">
        <f t="shared" si="4"/>
        <v>NA</v>
      </c>
      <c r="S25" s="27" t="str">
        <f t="shared" si="5"/>
        <v>Tidak</v>
      </c>
      <c r="T25" s="47"/>
      <c r="U25" s="48"/>
      <c r="V25" s="41"/>
    </row>
    <row r="26" spans="2:22" x14ac:dyDescent="0.2">
      <c r="B26" s="10">
        <v>8</v>
      </c>
      <c r="C26" s="15" t="s">
        <v>21</v>
      </c>
      <c r="D26" s="15" t="s">
        <v>21</v>
      </c>
      <c r="E26" s="15" t="s">
        <v>21</v>
      </c>
      <c r="F26" s="15" t="s">
        <v>21</v>
      </c>
      <c r="G26" s="15" t="s">
        <v>21</v>
      </c>
      <c r="H26" s="15" t="s">
        <v>21</v>
      </c>
      <c r="R26" s="27" t="str">
        <f t="shared" si="4"/>
        <v>NA</v>
      </c>
      <c r="S26" s="27" t="str">
        <f t="shared" si="5"/>
        <v>Tidak</v>
      </c>
      <c r="T26" s="47"/>
      <c r="U26" s="49"/>
      <c r="V26" s="41"/>
    </row>
    <row r="27" spans="2:22" x14ac:dyDescent="0.2">
      <c r="B27" s="10">
        <v>9</v>
      </c>
      <c r="C27" s="15" t="s">
        <v>21</v>
      </c>
      <c r="D27" s="15" t="s">
        <v>21</v>
      </c>
      <c r="E27" s="15" t="s">
        <v>21</v>
      </c>
      <c r="F27" s="15" t="s">
        <v>21</v>
      </c>
      <c r="G27" s="15" t="s">
        <v>21</v>
      </c>
      <c r="H27" s="15" t="s">
        <v>21</v>
      </c>
      <c r="R27" s="27" t="str">
        <f t="shared" si="4"/>
        <v>NA</v>
      </c>
      <c r="S27" s="27" t="str">
        <f t="shared" si="5"/>
        <v>Tidak</v>
      </c>
      <c r="T27" s="50"/>
      <c r="U27" s="51"/>
      <c r="V27" s="41"/>
    </row>
    <row r="28" spans="2:22" x14ac:dyDescent="0.2">
      <c r="B28" s="10">
        <v>10</v>
      </c>
      <c r="C28" s="15" t="s">
        <v>21</v>
      </c>
      <c r="D28" s="15" t="s">
        <v>21</v>
      </c>
      <c r="E28" s="15" t="s">
        <v>21</v>
      </c>
      <c r="F28" s="15" t="s">
        <v>21</v>
      </c>
      <c r="G28" s="15" t="s">
        <v>21</v>
      </c>
      <c r="H28" s="15" t="s">
        <v>21</v>
      </c>
      <c r="R28" s="27" t="str">
        <f t="shared" si="4"/>
        <v>NA</v>
      </c>
      <c r="S28" s="27" t="str">
        <f t="shared" si="5"/>
        <v>Tidak</v>
      </c>
      <c r="T28" s="50"/>
      <c r="U28" s="51"/>
      <c r="V28" s="41"/>
    </row>
    <row r="29" spans="2:22" x14ac:dyDescent="0.2">
      <c r="B29" s="10">
        <v>11</v>
      </c>
      <c r="C29" s="15" t="s">
        <v>21</v>
      </c>
      <c r="D29" s="15" t="s">
        <v>21</v>
      </c>
      <c r="E29" s="15" t="s">
        <v>21</v>
      </c>
      <c r="F29" s="15" t="s">
        <v>21</v>
      </c>
      <c r="G29" s="15" t="s">
        <v>21</v>
      </c>
      <c r="H29" s="15" t="s">
        <v>21</v>
      </c>
      <c r="R29" s="27" t="str">
        <f t="shared" si="4"/>
        <v>NA</v>
      </c>
      <c r="S29" s="27" t="str">
        <f t="shared" si="5"/>
        <v>Tidak</v>
      </c>
      <c r="T29" s="50"/>
      <c r="U29" s="51"/>
      <c r="V29" s="41"/>
    </row>
    <row r="30" spans="2:22" x14ac:dyDescent="0.2">
      <c r="B30" s="10">
        <v>12</v>
      </c>
      <c r="C30" s="15" t="s">
        <v>21</v>
      </c>
      <c r="D30" s="15" t="s">
        <v>21</v>
      </c>
      <c r="E30" s="15" t="s">
        <v>21</v>
      </c>
      <c r="F30" s="15" t="s">
        <v>21</v>
      </c>
      <c r="G30" s="15" t="s">
        <v>21</v>
      </c>
      <c r="H30" s="15" t="s">
        <v>21</v>
      </c>
      <c r="R30" s="27" t="str">
        <f t="shared" si="4"/>
        <v>NA</v>
      </c>
      <c r="S30" s="27" t="str">
        <f t="shared" si="5"/>
        <v>Tidak</v>
      </c>
      <c r="T30" s="52"/>
      <c r="U30" s="53"/>
      <c r="V30" s="53"/>
    </row>
  </sheetData>
  <mergeCells count="3">
    <mergeCell ref="B3:B4"/>
    <mergeCell ref="AA4:AA9"/>
    <mergeCell ref="AA10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asrani.27@gmail.com</dc:creator>
  <cp:lastModifiedBy>asrani.27@gmail.com</cp:lastModifiedBy>
  <dcterms:created xsi:type="dcterms:W3CDTF">2025-12-07T03:21:12Z</dcterms:created>
  <dcterms:modified xsi:type="dcterms:W3CDTF">2025-12-07T05:57:45Z</dcterms:modified>
</cp:coreProperties>
</file>